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ormanseeger/Dropbox/3_Work/coding/flightstate/x_njsAssets/"/>
    </mc:Choice>
  </mc:AlternateContent>
  <xr:revisionPtr revIDLastSave="0" documentId="8_{000A5DB2-C878-1046-82DE-51901EFD3DBB}" xr6:coauthVersionLast="47" xr6:coauthVersionMax="47" xr10:uidLastSave="{00000000-0000-0000-0000-000000000000}"/>
  <bookViews>
    <workbookView xWindow="4780" yWindow="3780" windowWidth="25460" windowHeight="15860" xr2:uid="{7B4C753E-1224-894C-8B3A-9B8F971AFB90}"/>
  </bookViews>
  <sheets>
    <sheet name="ACHA_HV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B44" i="1" s="1"/>
  <c r="B40" i="1" s="1"/>
  <c r="D43" i="1"/>
  <c r="D40" i="1"/>
  <c r="D39" i="1"/>
  <c r="B36" i="1"/>
  <c r="C36" i="1" s="1"/>
  <c r="C34" i="1"/>
  <c r="C33" i="1"/>
  <c r="B43" i="1" s="1"/>
  <c r="B39" i="1" s="1"/>
  <c r="I18" i="1"/>
  <c r="I15" i="1" s="1"/>
  <c r="D18" i="1"/>
  <c r="D15" i="1" s="1"/>
  <c r="I17" i="1"/>
  <c r="D17" i="1"/>
  <c r="I14" i="1"/>
  <c r="D14" i="1"/>
  <c r="B12" i="1"/>
  <c r="B11" i="1"/>
  <c r="B18" i="1" s="1"/>
  <c r="B15" i="1" s="1"/>
  <c r="D6" i="1"/>
  <c r="E6" i="1" s="1"/>
  <c r="G11" i="1" s="1"/>
  <c r="G18" i="1" s="1"/>
  <c r="G15" i="1" s="1"/>
  <c r="D5" i="1"/>
  <c r="B5" i="1"/>
  <c r="C6" i="1" s="1"/>
  <c r="E4" i="1"/>
  <c r="C4" i="1"/>
  <c r="B10" i="1" s="1"/>
  <c r="B17" i="1" s="1"/>
  <c r="B14" i="1" s="1"/>
  <c r="G10" i="1" l="1"/>
  <c r="G17" i="1" s="1"/>
  <c r="G14" i="1" s="1"/>
  <c r="G12" i="1"/>
</calcChain>
</file>

<file path=xl/sharedStrings.xml><?xml version="1.0" encoding="utf-8"?>
<sst xmlns="http://schemas.openxmlformats.org/spreadsheetml/2006/main" count="56" uniqueCount="28">
  <si>
    <t>ACHA</t>
  </si>
  <si>
    <t>Time</t>
  </si>
  <si>
    <t>HOBBS</t>
  </si>
  <si>
    <t>Diff HOBBS</t>
  </si>
  <si>
    <t>VUT</t>
  </si>
  <si>
    <t>Diff VUT</t>
  </si>
  <si>
    <t>On Block 
Time (UTC)</t>
  </si>
  <si>
    <t>LT-UTC</t>
  </si>
  <si>
    <t>Flight 1 Start</t>
  </si>
  <si>
    <t xml:space="preserve">Flight 1 End </t>
  </si>
  <si>
    <t>Winter</t>
  </si>
  <si>
    <t>Flight 2 Start</t>
  </si>
  <si>
    <t>Summer</t>
  </si>
  <si>
    <t>Flight 2 End</t>
  </si>
  <si>
    <t>Flight 1</t>
  </si>
  <si>
    <t>Flight 2</t>
  </si>
  <si>
    <t>HOBBS time</t>
  </si>
  <si>
    <t>VUT time</t>
  </si>
  <si>
    <t>HOBBS - VUT</t>
  </si>
  <si>
    <t>Local Time</t>
  </si>
  <si>
    <t>Block Off</t>
  </si>
  <si>
    <t>Block On</t>
  </si>
  <si>
    <t>Take Off</t>
  </si>
  <si>
    <t>Arrival</t>
  </si>
  <si>
    <t>UTC Time</t>
  </si>
  <si>
    <r>
      <rPr>
        <sz val="12"/>
        <color theme="1"/>
        <rFont val="Calibri"/>
        <family val="2"/>
      </rPr>
      <t>Block On Time (</t>
    </r>
    <r>
      <rPr>
        <b/>
        <sz val="12"/>
        <color theme="1"/>
        <rFont val="Calibri"/>
        <family val="2"/>
      </rPr>
      <t>UTC</t>
    </r>
    <r>
      <rPr>
        <sz val="12"/>
        <color theme="1"/>
        <rFont val="Calibri"/>
        <family val="2"/>
      </rPr>
      <t>)</t>
    </r>
  </si>
  <si>
    <t>Diff HOBBS/VUT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</si>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</sst>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&quot;:&quot;mm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0" fontId="1" fillId="2" borderId="0" xfId="0" applyNumberFormat="1" applyFont="1" applyFill="1"/>
    <xf numFmtId="164" fontId="1" fillId="2" borderId="3" xfId="0" applyNumberFormat="1" applyFont="1" applyFill="1" applyBorder="1"/>
    <xf numFmtId="0" fontId="1" fillId="3" borderId="3" xfId="0" applyFont="1" applyFill="1" applyBorder="1"/>
    <xf numFmtId="164" fontId="1" fillId="4" borderId="3" xfId="0" applyNumberFormat="1" applyFont="1" applyFill="1" applyBorder="1"/>
    <xf numFmtId="164" fontId="1" fillId="5" borderId="3" xfId="0" applyNumberFormat="1" applyFont="1" applyFill="1" applyBorder="1"/>
    <xf numFmtId="20" fontId="1" fillId="2" borderId="3" xfId="0" applyNumberFormat="1" applyFont="1" applyFill="1" applyBorder="1"/>
    <xf numFmtId="20" fontId="1" fillId="0" borderId="0" xfId="0" applyNumberFormat="1" applyFont="1"/>
    <xf numFmtId="0" fontId="1" fillId="2" borderId="3" xfId="0" applyFont="1" applyFill="1" applyBorder="1"/>
    <xf numFmtId="0" fontId="2" fillId="0" borderId="0" xfId="0" applyFont="1"/>
    <xf numFmtId="0" fontId="3" fillId="4" borderId="0" xfId="0" applyFont="1" applyFill="1"/>
    <xf numFmtId="0" fontId="2" fillId="6" borderId="0" xfId="0" applyFont="1" applyFill="1"/>
    <xf numFmtId="0" fontId="1" fillId="6" borderId="0" xfId="0" applyFont="1" applyFill="1"/>
    <xf numFmtId="165" fontId="1" fillId="5" borderId="0" xfId="0" applyNumberFormat="1" applyFont="1" applyFill="1"/>
    <xf numFmtId="0" fontId="2" fillId="7" borderId="0" xfId="0" applyFont="1" applyFill="1"/>
    <xf numFmtId="0" fontId="1" fillId="7" borderId="0" xfId="0" applyFont="1" applyFill="1"/>
    <xf numFmtId="164" fontId="1" fillId="2" borderId="0" xfId="0" applyNumberFormat="1" applyFont="1" applyFill="1"/>
    <xf numFmtId="0" fontId="3" fillId="0" borderId="0" xfId="0" applyFont="1"/>
    <xf numFmtId="164" fontId="1" fillId="5" borderId="0" xfId="0" applyNumberFormat="1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00ED-A89F-9C42-8113-3F616C39071C}">
  <sheetPr>
    <outlinePr summaryBelow="0" summaryRight="0"/>
  </sheetPr>
  <dimension ref="A1:J44"/>
  <sheetViews>
    <sheetView tabSelected="1" workbookViewId="0"/>
  </sheetViews>
  <sheetFormatPr baseColWidth="10" defaultColWidth="11.1640625" defaultRowHeight="15" customHeight="1" x14ac:dyDescent="0.2"/>
  <cols>
    <col min="1" max="1" width="12.5" customWidth="1"/>
    <col min="2" max="2" width="7.83203125" customWidth="1"/>
    <col min="3" max="3" width="9" customWidth="1"/>
    <col min="4" max="4" width="9.1640625" customWidth="1"/>
    <col min="5" max="5" width="10.1640625" customWidth="1"/>
    <col min="6" max="6" width="10.5" customWidth="1"/>
    <col min="7" max="7" width="7.1640625" customWidth="1"/>
    <col min="8" max="9" width="7.83203125" customWidth="1"/>
  </cols>
  <sheetData>
    <row r="1" spans="1:10" x14ac:dyDescent="0.2">
      <c r="A1" s="1" t="s">
        <v>0</v>
      </c>
    </row>
    <row r="2" spans="1:10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I2" s="1" t="s">
        <v>7</v>
      </c>
      <c r="J2" s="4">
        <v>4.1666666666666664E-2</v>
      </c>
    </row>
    <row r="3" spans="1:10" x14ac:dyDescent="0.2">
      <c r="A3" s="1" t="s">
        <v>8</v>
      </c>
      <c r="B3" s="5">
        <v>5188.6000000000004</v>
      </c>
      <c r="C3" s="6"/>
      <c r="D3" s="5">
        <v>3136</v>
      </c>
      <c r="E3" s="6"/>
      <c r="F3" s="6"/>
    </row>
    <row r="4" spans="1:10" x14ac:dyDescent="0.2">
      <c r="A4" s="1" t="s">
        <v>9</v>
      </c>
      <c r="B4" s="5">
        <v>5190.3</v>
      </c>
      <c r="C4" s="7">
        <f>B4-B3</f>
        <v>1.6999999999998181</v>
      </c>
      <c r="D4" s="5">
        <v>3137.5</v>
      </c>
      <c r="E4" s="8">
        <f>D4-D3</f>
        <v>1.5</v>
      </c>
      <c r="F4" s="9">
        <v>0.60416666666666663</v>
      </c>
      <c r="I4" s="1" t="s">
        <v>10</v>
      </c>
      <c r="J4" s="10">
        <v>4.1666666666666664E-2</v>
      </c>
    </row>
    <row r="5" spans="1:10" x14ac:dyDescent="0.2">
      <c r="A5" s="1" t="s">
        <v>11</v>
      </c>
      <c r="B5" s="7">
        <f>B4</f>
        <v>5190.3</v>
      </c>
      <c r="C5" s="6"/>
      <c r="D5" s="7">
        <f>D3</f>
        <v>3136</v>
      </c>
      <c r="E5" s="6"/>
      <c r="F5" s="6"/>
      <c r="I5" s="1" t="s">
        <v>12</v>
      </c>
      <c r="J5" s="10">
        <v>8.3333333333333329E-2</v>
      </c>
    </row>
    <row r="6" spans="1:10" x14ac:dyDescent="0.2">
      <c r="A6" s="1" t="s">
        <v>13</v>
      </c>
      <c r="B6" s="5">
        <v>9002.5</v>
      </c>
      <c r="C6" s="7">
        <f>B6-B5</f>
        <v>3812.2</v>
      </c>
      <c r="D6" s="11">
        <f>3502.2</f>
        <v>3502.2</v>
      </c>
      <c r="E6" s="7">
        <f>D6-D5</f>
        <v>366.19999999999982</v>
      </c>
      <c r="F6" s="9">
        <v>0.70833333333333337</v>
      </c>
    </row>
    <row r="9" spans="1:10" x14ac:dyDescent="0.2">
      <c r="A9" s="12" t="s">
        <v>14</v>
      </c>
      <c r="F9" s="12" t="s">
        <v>15</v>
      </c>
    </row>
    <row r="10" spans="1:10" x14ac:dyDescent="0.2">
      <c r="A10" s="1" t="s">
        <v>16</v>
      </c>
      <c r="B10" s="13" t="str">
        <f>TEXT(C4/24, "hh:mm")</f>
        <v>hh:01</v>
      </c>
      <c r="F10" s="1" t="s">
        <v>16</v>
      </c>
      <c r="G10" s="13" t="str">
        <f>TEXT(C6/24, "hh:mm")</f>
        <v>hh:06</v>
      </c>
    </row>
    <row r="11" spans="1:10" x14ac:dyDescent="0.2">
      <c r="A11" s="1" t="s">
        <v>17</v>
      </c>
      <c r="B11" s="13" t="str">
        <f>TEXT(E4/24, "hh:mm")</f>
        <v>hh:01</v>
      </c>
      <c r="F11" s="1" t="s">
        <v>17</v>
      </c>
      <c r="G11" s="13" t="str">
        <f>TEXT(E6/24, "hh:mm")</f>
        <v>hh:01</v>
      </c>
    </row>
    <row r="12" spans="1:10" x14ac:dyDescent="0.2">
      <c r="A12" s="1" t="s">
        <v>18</v>
      </c>
      <c r="B12" s="13" t="str">
        <f>TEXT((C4-E4)/24, "hh:mm")</f>
        <v>hh:01</v>
      </c>
      <c r="F12" s="1" t="s">
        <v>18</v>
      </c>
      <c r="G12" s="13" t="str">
        <f>TEXT((C6-E6)/24, "hh:mm")</f>
        <v>hh:05</v>
      </c>
    </row>
    <row r="13" spans="1:10" x14ac:dyDescent="0.2">
      <c r="A13" s="14" t="s">
        <v>19</v>
      </c>
      <c r="B13" s="15"/>
      <c r="C13" s="15"/>
      <c r="D13" s="15"/>
      <c r="F13" s="14" t="s">
        <v>19</v>
      </c>
      <c r="G13" s="15"/>
      <c r="H13" s="15"/>
      <c r="I13" s="15"/>
    </row>
    <row r="14" spans="1:10" x14ac:dyDescent="0.2">
      <c r="A14" s="1" t="s">
        <v>20</v>
      </c>
      <c r="B14" s="16" t="e">
        <f t="shared" ref="B14:B15" si="0">B17+$J$2</f>
        <v>#VALUE!</v>
      </c>
      <c r="C14" s="1" t="s">
        <v>21</v>
      </c>
      <c r="D14" s="16">
        <f t="shared" ref="D14:D15" si="1">D17+$J$2</f>
        <v>0.64583333333333326</v>
      </c>
      <c r="F14" s="1" t="s">
        <v>20</v>
      </c>
      <c r="G14" s="16" t="e">
        <f t="shared" ref="G14:G15" si="2">G17+$J$2</f>
        <v>#VALUE!</v>
      </c>
      <c r="H14" s="1" t="s">
        <v>21</v>
      </c>
      <c r="I14" s="16">
        <f>F6+$J$2</f>
        <v>0.75</v>
      </c>
    </row>
    <row r="15" spans="1:10" x14ac:dyDescent="0.2">
      <c r="A15" s="1" t="s">
        <v>22</v>
      </c>
      <c r="B15" s="16" t="e">
        <f t="shared" si="0"/>
        <v>#VALUE!</v>
      </c>
      <c r="C15" s="1" t="s">
        <v>23</v>
      </c>
      <c r="D15" s="16">
        <f t="shared" si="1"/>
        <v>0.64374999999999993</v>
      </c>
      <c r="F15" s="1" t="s">
        <v>22</v>
      </c>
      <c r="G15" s="16" t="e">
        <f t="shared" si="2"/>
        <v>#VALUE!</v>
      </c>
      <c r="H15" s="1" t="s">
        <v>23</v>
      </c>
      <c r="I15" s="16">
        <f>I18+$J$2</f>
        <v>0.74791666666666667</v>
      </c>
    </row>
    <row r="16" spans="1:10" x14ac:dyDescent="0.2">
      <c r="A16" s="17" t="s">
        <v>24</v>
      </c>
      <c r="B16" s="18"/>
      <c r="C16" s="18"/>
      <c r="D16" s="18"/>
      <c r="F16" s="17" t="s">
        <v>24</v>
      </c>
      <c r="G16" s="18"/>
      <c r="H16" s="18"/>
      <c r="I16" s="18"/>
    </row>
    <row r="17" spans="1:9" x14ac:dyDescent="0.2">
      <c r="A17" s="1" t="s">
        <v>20</v>
      </c>
      <c r="B17" s="16" t="e">
        <f t="shared" ref="B17:B18" si="3">D17-B10</f>
        <v>#VALUE!</v>
      </c>
      <c r="C17" s="1" t="s">
        <v>21</v>
      </c>
      <c r="D17" s="16">
        <f>F4</f>
        <v>0.60416666666666663</v>
      </c>
      <c r="F17" s="1" t="s">
        <v>20</v>
      </c>
      <c r="G17" s="16" t="e">
        <f t="shared" ref="G17:G18" si="4">I17-G10</f>
        <v>#VALUE!</v>
      </c>
      <c r="H17" s="1" t="s">
        <v>21</v>
      </c>
      <c r="I17" s="16">
        <f>F6</f>
        <v>0.70833333333333337</v>
      </c>
    </row>
    <row r="18" spans="1:9" x14ac:dyDescent="0.2">
      <c r="A18" s="1" t="s">
        <v>22</v>
      </c>
      <c r="B18" s="16" t="e">
        <f t="shared" si="3"/>
        <v>#VALUE!</v>
      </c>
      <c r="C18" s="1" t="s">
        <v>23</v>
      </c>
      <c r="D18" s="16">
        <f>D17-0.05/24</f>
        <v>0.6020833333333333</v>
      </c>
      <c r="F18" s="1" t="s">
        <v>22</v>
      </c>
      <c r="G18" s="16" t="e">
        <f t="shared" si="4"/>
        <v>#VALUE!</v>
      </c>
      <c r="H18" s="1" t="s">
        <v>23</v>
      </c>
      <c r="I18" s="16">
        <f>I17-0.05/24</f>
        <v>0.70625000000000004</v>
      </c>
    </row>
    <row r="32" spans="1:9" x14ac:dyDescent="0.2">
      <c r="A32" s="1" t="s">
        <v>25</v>
      </c>
      <c r="B32" s="4">
        <v>0.61458333333333337</v>
      </c>
    </row>
    <row r="33" spans="1:4" x14ac:dyDescent="0.2">
      <c r="A33" s="1" t="s">
        <v>2</v>
      </c>
      <c r="B33" s="19">
        <v>0.8</v>
      </c>
      <c r="C33" s="20" t="str">
        <f t="shared" ref="C33:C34" si="5">TEXT(B33/24, "hh:mm")</f>
        <v>hh:01</v>
      </c>
    </row>
    <row r="34" spans="1:4" x14ac:dyDescent="0.2">
      <c r="A34" s="1" t="s">
        <v>4</v>
      </c>
      <c r="B34" s="19">
        <v>0.6</v>
      </c>
      <c r="C34" s="20" t="str">
        <f t="shared" si="5"/>
        <v>hh:01</v>
      </c>
    </row>
    <row r="35" spans="1:4" x14ac:dyDescent="0.2">
      <c r="B35" s="1">
        <v>0.9</v>
      </c>
    </row>
    <row r="36" spans="1:4" x14ac:dyDescent="0.2">
      <c r="A36" s="1" t="s">
        <v>26</v>
      </c>
      <c r="B36" s="21">
        <f>B33-B32</f>
        <v>0.18541666666666667</v>
      </c>
      <c r="C36" s="22" t="str">
        <f>TEXT(B36/24, "hh:mm")</f>
        <v>hh:01</v>
      </c>
    </row>
    <row r="38" spans="1:4" x14ac:dyDescent="0.2">
      <c r="A38" s="14" t="s">
        <v>19</v>
      </c>
    </row>
    <row r="39" spans="1:4" x14ac:dyDescent="0.2">
      <c r="A39" s="1" t="s">
        <v>20</v>
      </c>
      <c r="B39" s="16" t="e">
        <f t="shared" ref="B39:B40" si="6">B43+$J$2</f>
        <v>#VALUE!</v>
      </c>
      <c r="C39" s="1" t="s">
        <v>21</v>
      </c>
      <c r="D39" s="16">
        <f t="shared" ref="D39:D40" si="7">D43+$J$2</f>
        <v>0.65625</v>
      </c>
    </row>
    <row r="40" spans="1:4" x14ac:dyDescent="0.2">
      <c r="A40" s="1" t="s">
        <v>22</v>
      </c>
      <c r="B40" s="16" t="e">
        <f t="shared" si="6"/>
        <v>#VALUE!</v>
      </c>
      <c r="C40" s="1" t="s">
        <v>23</v>
      </c>
      <c r="D40" s="16">
        <f t="shared" si="7"/>
        <v>0.65416666666666667</v>
      </c>
    </row>
    <row r="42" spans="1:4" x14ac:dyDescent="0.2">
      <c r="A42" s="17" t="s">
        <v>27</v>
      </c>
    </row>
    <row r="43" spans="1:4" x14ac:dyDescent="0.2">
      <c r="A43" s="1" t="s">
        <v>20</v>
      </c>
      <c r="B43" s="16" t="e">
        <f>B32-C33</f>
        <v>#VALUE!</v>
      </c>
      <c r="C43" s="1" t="s">
        <v>21</v>
      </c>
      <c r="D43" s="16">
        <f>B32</f>
        <v>0.61458333333333337</v>
      </c>
    </row>
    <row r="44" spans="1:4" x14ac:dyDescent="0.2">
      <c r="A44" s="1" t="s">
        <v>22</v>
      </c>
      <c r="B44" s="16" t="e">
        <f>D44-C34</f>
        <v>#VALUE!</v>
      </c>
      <c r="C44" s="1" t="s">
        <v>23</v>
      </c>
      <c r="D44" s="16">
        <f>B32-0.05/24</f>
        <v>0.61250000000000004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ACHA_HV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Seeger</dc:creator>
  <cp:lastModifiedBy>Norman Seeger</cp:lastModifiedBy>
  <dcterms:created xsi:type="dcterms:W3CDTF">2026-02-27T22:00:09Z</dcterms:created>
  <dcterms:modified xsi:type="dcterms:W3CDTF">2026-02-27T22:00:47Z</dcterms:modified>
</cp:coreProperties>
</file>